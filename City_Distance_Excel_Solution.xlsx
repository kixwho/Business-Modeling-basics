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ki\OneDrive\桌面\New tools\"/>
    </mc:Choice>
  </mc:AlternateContent>
  <xr:revisionPtr revIDLastSave="0" documentId="13_ncr:1_{473340AE-3479-4DEE-8F18-BDD5615D0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lookup">Sheet1!$B$4:$D$24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H4" i="1"/>
  <c r="K29" i="1"/>
</calcChain>
</file>

<file path=xl/sharedStrings.xml><?xml version="1.0" encoding="utf-8"?>
<sst xmlns="http://schemas.openxmlformats.org/spreadsheetml/2006/main" count="74" uniqueCount="32">
  <si>
    <t>Lat</t>
  </si>
  <si>
    <t>Long</t>
  </si>
  <si>
    <t>New York</t>
  </si>
  <si>
    <t>Boston</t>
  </si>
  <si>
    <t>Philadelphia</t>
  </si>
  <si>
    <t>Charlotte</t>
  </si>
  <si>
    <t>Atlanta</t>
  </si>
  <si>
    <t>New Orleans</t>
  </si>
  <si>
    <t>Miami</t>
  </si>
  <si>
    <t>Dallas</t>
  </si>
  <si>
    <t>Houston</t>
  </si>
  <si>
    <t>Chicago</t>
  </si>
  <si>
    <t>Detroit</t>
  </si>
  <si>
    <t>Cleveland</t>
  </si>
  <si>
    <t>Indy</t>
  </si>
  <si>
    <t>Denver</t>
  </si>
  <si>
    <t>Minneapolis</t>
  </si>
  <si>
    <t>Phoenix</t>
  </si>
  <si>
    <t>Salt Lake City</t>
  </si>
  <si>
    <t>LA</t>
  </si>
  <si>
    <t>SF</t>
  </si>
  <si>
    <t>SD</t>
  </si>
  <si>
    <t>Seattle</t>
  </si>
  <si>
    <t>Distance between any two cities</t>
  </si>
  <si>
    <t>Formula:</t>
  </si>
  <si>
    <t>Explanation</t>
  </si>
  <si>
    <t>1️⃣</t>
  </si>
  <si>
    <t>With raw data highlighted in green, I first created a grid of all the cities. The horizontal row was Transpose pasted over</t>
  </si>
  <si>
    <t>2️⃣</t>
  </si>
  <si>
    <t>3️⃣</t>
  </si>
  <si>
    <t>In cell H4, I used the formula</t>
  </si>
  <si>
    <t>Copy and pasted the above formula over the entire table (highlighted in 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</si>
</sst>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 vertical="center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0</xdr:row>
      <xdr:rowOff>183337</xdr:rowOff>
    </xdr:from>
    <xdr:to>
      <xdr:col>20</xdr:col>
      <xdr:colOff>190500</xdr:colOff>
      <xdr:row>2</xdr:row>
      <xdr:rowOff>19098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039D1-92D7-5952-024B-9AD4A8B54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183337"/>
          <a:ext cx="2590800" cy="43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30"/>
  <sheetViews>
    <sheetView tabSelected="1" workbookViewId="0">
      <selection activeCell="B4" sqref="B4:D24"/>
    </sheetView>
  </sheetViews>
  <sheetFormatPr defaultRowHeight="15" x14ac:dyDescent="0.25"/>
  <cols>
    <col min="1" max="1" width="5.140625" customWidth="1"/>
    <col min="2" max="2" width="12.7109375" customWidth="1"/>
    <col min="5" max="5" width="6.28515625" customWidth="1"/>
    <col min="6" max="6" width="6" customWidth="1"/>
    <col min="7" max="7" width="12.5703125" style="1" bestFit="1" customWidth="1"/>
    <col min="9" max="9" width="7.140625" bestFit="1" customWidth="1"/>
  </cols>
  <sheetData>
    <row r="2" spans="2:28" ht="32.25" customHeight="1" x14ac:dyDescent="0.35">
      <c r="G2" s="2" t="s">
        <v>23</v>
      </c>
      <c r="P2" s="3" t="s">
        <v>24</v>
      </c>
    </row>
    <row r="3" spans="2:28" s="1" customFormat="1" x14ac:dyDescent="0.25">
      <c r="B3" s="4"/>
      <c r="C3" s="4" t="s">
        <v>0</v>
      </c>
      <c r="D3" s="4" t="s">
        <v>1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16</v>
      </c>
      <c r="W3" s="1" t="s">
        <v>17</v>
      </c>
      <c r="X3" s="1" t="s">
        <v>18</v>
      </c>
      <c r="Y3" s="1" t="s">
        <v>19</v>
      </c>
      <c r="Z3" s="1" t="s">
        <v>20</v>
      </c>
      <c r="AA3" s="1" t="s">
        <v>21</v>
      </c>
      <c r="AB3" s="1" t="s">
        <v>22</v>
      </c>
    </row>
    <row r="4" spans="2:28" x14ac:dyDescent="0.25">
      <c r="B4" s="5" t="s">
        <v>2</v>
      </c>
      <c r="C4" s="5">
        <v>40.700000000000003</v>
      </c>
      <c r="D4" s="5">
        <v>73.900000000000006</v>
      </c>
      <c r="G4" s="1" t="s">
        <v>2</v>
      </c>
      <c r="H4" s="6">
        <f t="shared" ref="H4:Q13" si="0">69*SQRT((VLOOKUP($G4,lookup,2,FALSE)-VLOOKUP(H$3,lookup,2,FALSE))^2+(VLOOKUP($G4,lookup,3,FALSE)-VLOOKUP(H$3,lookup,3,FALSE))^2)</f>
        <v>0</v>
      </c>
      <c r="I4" s="6">
        <f t="shared" si="0"/>
        <v>228.53483323117302</v>
      </c>
      <c r="J4" s="6">
        <f t="shared" si="0"/>
        <v>95.857863527203079</v>
      </c>
      <c r="K4" s="6">
        <f t="shared" si="0"/>
        <v>608.84436434937913</v>
      </c>
      <c r="L4" s="6">
        <f t="shared" si="0"/>
        <v>866.9322118827979</v>
      </c>
      <c r="M4" s="6">
        <f t="shared" si="0"/>
        <v>1328.120058579043</v>
      </c>
      <c r="N4" s="6">
        <f t="shared" si="0"/>
        <v>1116.2229615986225</v>
      </c>
      <c r="O4" s="6">
        <f t="shared" si="0"/>
        <v>1671.481384879891</v>
      </c>
      <c r="P4" s="6">
        <f t="shared" si="0"/>
        <v>1663.2578453144301</v>
      </c>
      <c r="Q4" s="6">
        <f t="shared" si="0"/>
        <v>955.22021021333057</v>
      </c>
      <c r="R4" s="6">
        <f t="shared" ref="R4:AB13" si="1">69*SQRT((VLOOKUP($G4,lookup,2,FALSE)-VLOOKUP(R$3,lookup,2,FALSE))^2+(VLOOKUP($G4,lookup,3,FALSE)-VLOOKUP(R$3,lookup,3,FALSE))^2)</f>
        <v>645.54653589032512</v>
      </c>
      <c r="S4" s="6">
        <f t="shared" si="1"/>
        <v>541.0233636359892</v>
      </c>
      <c r="T4" s="6">
        <f t="shared" si="1"/>
        <v>844.08746584699304</v>
      </c>
      <c r="U4" s="6">
        <f t="shared" si="1"/>
        <v>2139.9012617408307</v>
      </c>
      <c r="V4" s="6">
        <f t="shared" si="1"/>
        <v>1371.0874698574114</v>
      </c>
      <c r="W4" s="6">
        <f t="shared" si="1"/>
        <v>2682.210260214511</v>
      </c>
      <c r="X4" s="6">
        <f t="shared" si="1"/>
        <v>2622.00907893165</v>
      </c>
      <c r="Y4" s="6">
        <f t="shared" si="1"/>
        <v>3104.0875325931129</v>
      </c>
      <c r="Z4" s="6">
        <f t="shared" si="1"/>
        <v>3366.2525306340272</v>
      </c>
      <c r="AA4" s="6">
        <f t="shared" si="1"/>
        <v>3030.2314515561343</v>
      </c>
      <c r="AB4" s="6">
        <f t="shared" si="1"/>
        <v>3347.0761359730077</v>
      </c>
    </row>
    <row r="5" spans="2:28" x14ac:dyDescent="0.25">
      <c r="B5" s="5" t="s">
        <v>3</v>
      </c>
      <c r="C5" s="5">
        <v>42.3</v>
      </c>
      <c r="D5" s="5">
        <v>71</v>
      </c>
      <c r="G5" s="1" t="s">
        <v>3</v>
      </c>
      <c r="H5" s="6">
        <f t="shared" si="0"/>
        <v>228.53483323117302</v>
      </c>
      <c r="I5" s="6">
        <f t="shared" si="0"/>
        <v>0</v>
      </c>
      <c r="J5" s="6">
        <f t="shared" si="0"/>
        <v>324.37339594979073</v>
      </c>
      <c r="K5" s="6">
        <f t="shared" si="0"/>
        <v>835.01404179810015</v>
      </c>
      <c r="L5" s="6">
        <f t="shared" si="0"/>
        <v>1094.9280387313136</v>
      </c>
      <c r="M5" s="6">
        <f t="shared" si="0"/>
        <v>1555.9461751615961</v>
      </c>
      <c r="N5" s="6">
        <f t="shared" si="0"/>
        <v>1303.5157421373935</v>
      </c>
      <c r="O5" s="6">
        <f t="shared" si="0"/>
        <v>1897.048309875107</v>
      </c>
      <c r="P5" s="6">
        <f t="shared" si="0"/>
        <v>1891.6699527137393</v>
      </c>
      <c r="Q5" s="6">
        <f t="shared" si="0"/>
        <v>1152.8163513760553</v>
      </c>
      <c r="R5" s="6">
        <f t="shared" si="1"/>
        <v>834.92851190985164</v>
      </c>
      <c r="S5" s="6">
        <f t="shared" si="1"/>
        <v>740.36067561695916</v>
      </c>
      <c r="T5" s="6">
        <f t="shared" si="1"/>
        <v>1056.0832637628528</v>
      </c>
      <c r="U5" s="6">
        <f t="shared" si="1"/>
        <v>2345.4519948189095</v>
      </c>
      <c r="V5" s="6">
        <f t="shared" si="1"/>
        <v>1549.9372180833645</v>
      </c>
      <c r="W5" s="6">
        <f t="shared" si="1"/>
        <v>2900.1759687991344</v>
      </c>
      <c r="X5" s="6">
        <f t="shared" si="1"/>
        <v>2823.9972839930283</v>
      </c>
      <c r="Y5" s="6">
        <f t="shared" si="1"/>
        <v>3319.1797179423716</v>
      </c>
      <c r="Z5" s="6">
        <f t="shared" si="1"/>
        <v>3573.9135985639045</v>
      </c>
      <c r="AA5" s="6">
        <f t="shared" si="1"/>
        <v>3247.7384531393532</v>
      </c>
      <c r="AB5" s="6">
        <f t="shared" si="1"/>
        <v>3546.9288758022767</v>
      </c>
    </row>
    <row r="6" spans="2:28" x14ac:dyDescent="0.25">
      <c r="B6" s="5" t="s">
        <v>4</v>
      </c>
      <c r="C6" s="5">
        <v>40</v>
      </c>
      <c r="D6" s="5">
        <v>75.099999999999994</v>
      </c>
      <c r="G6" s="1" t="s">
        <v>4</v>
      </c>
      <c r="H6" s="6">
        <f t="shared" si="0"/>
        <v>95.857863527203079</v>
      </c>
      <c r="I6" s="6">
        <f t="shared" si="0"/>
        <v>324.37339594979073</v>
      </c>
      <c r="J6" s="6">
        <f t="shared" si="0"/>
        <v>0</v>
      </c>
      <c r="K6" s="6">
        <f t="shared" si="0"/>
        <v>514.17733322269271</v>
      </c>
      <c r="L6" s="6">
        <f t="shared" si="0"/>
        <v>771.22741782174808</v>
      </c>
      <c r="M6" s="6">
        <f t="shared" si="0"/>
        <v>1232.4566686094897</v>
      </c>
      <c r="N6" s="6">
        <f t="shared" si="0"/>
        <v>1041.0771585238053</v>
      </c>
      <c r="O6" s="6">
        <f t="shared" si="0"/>
        <v>1577.5669652981458</v>
      </c>
      <c r="P6" s="6">
        <f t="shared" si="0"/>
        <v>1567.5761321224568</v>
      </c>
      <c r="Q6" s="6">
        <f t="shared" si="0"/>
        <v>878.22662223369264</v>
      </c>
      <c r="R6" s="6">
        <f t="shared" si="1"/>
        <v>576.30491929186223</v>
      </c>
      <c r="S6" s="6">
        <f t="shared" si="1"/>
        <v>467.01328674888953</v>
      </c>
      <c r="T6" s="6">
        <f t="shared" si="1"/>
        <v>759.1254441790237</v>
      </c>
      <c r="U6" s="6">
        <f t="shared" si="1"/>
        <v>2056.2463082033732</v>
      </c>
      <c r="V6" s="6">
        <f t="shared" si="1"/>
        <v>1302.3281614094049</v>
      </c>
      <c r="W6" s="6">
        <f t="shared" si="1"/>
        <v>2592.0959183641335</v>
      </c>
      <c r="X6" s="6">
        <f t="shared" si="1"/>
        <v>2539.7999291282777</v>
      </c>
      <c r="Y6" s="6">
        <f t="shared" si="1"/>
        <v>3015.307894726508</v>
      </c>
      <c r="Z6" s="6">
        <f t="shared" si="1"/>
        <v>3281.0134851902089</v>
      </c>
      <c r="AA6" s="6">
        <f t="shared" si="1"/>
        <v>2940.274517795915</v>
      </c>
      <c r="AB6" s="6">
        <f t="shared" si="1"/>
        <v>3265.5666966087224</v>
      </c>
    </row>
    <row r="7" spans="2:28" x14ac:dyDescent="0.25">
      <c r="B7" s="5" t="s">
        <v>5</v>
      </c>
      <c r="C7" s="5">
        <v>35.200000000000003</v>
      </c>
      <c r="D7" s="5">
        <v>80.8</v>
      </c>
      <c r="G7" s="1" t="s">
        <v>5</v>
      </c>
      <c r="H7" s="6">
        <f t="shared" si="0"/>
        <v>608.84436434937913</v>
      </c>
      <c r="I7" s="6">
        <f t="shared" si="0"/>
        <v>835.01404179810015</v>
      </c>
      <c r="J7" s="6">
        <f t="shared" si="0"/>
        <v>514.17733322269271</v>
      </c>
      <c r="K7" s="6">
        <f t="shared" si="0"/>
        <v>0</v>
      </c>
      <c r="L7" s="6">
        <f t="shared" si="0"/>
        <v>266.52226923842659</v>
      </c>
      <c r="M7" s="6">
        <f t="shared" si="0"/>
        <v>723.18452002238064</v>
      </c>
      <c r="N7" s="6">
        <f t="shared" si="0"/>
        <v>649.91993353027738</v>
      </c>
      <c r="O7" s="6">
        <f t="shared" si="0"/>
        <v>1116.3509125718492</v>
      </c>
      <c r="P7" s="6">
        <f t="shared" si="0"/>
        <v>1074.0975374704112</v>
      </c>
      <c r="Q7" s="6">
        <f t="shared" si="0"/>
        <v>658.8325811615573</v>
      </c>
      <c r="R7" s="6">
        <f t="shared" si="1"/>
        <v>521.53229046723425</v>
      </c>
      <c r="S7" s="6">
        <f t="shared" si="1"/>
        <v>439.11331111684586</v>
      </c>
      <c r="T7" s="6">
        <f t="shared" si="1"/>
        <v>484.23057524282751</v>
      </c>
      <c r="U7" s="6">
        <f t="shared" si="1"/>
        <v>1692.9203082248148</v>
      </c>
      <c r="V7" s="6">
        <f t="shared" si="1"/>
        <v>1095.9711173201599</v>
      </c>
      <c r="W7" s="6">
        <f t="shared" si="1"/>
        <v>2162.8831175077398</v>
      </c>
      <c r="X7" s="6">
        <f t="shared" si="1"/>
        <v>2180.4109176941861</v>
      </c>
      <c r="Y7" s="6">
        <f t="shared" si="1"/>
        <v>2595.5100019071406</v>
      </c>
      <c r="Z7" s="6">
        <f t="shared" si="1"/>
        <v>2889.7740396093254</v>
      </c>
      <c r="AA7" s="6">
        <f t="shared" si="1"/>
        <v>2510.1684106848284</v>
      </c>
      <c r="AB7" s="6">
        <f t="shared" si="1"/>
        <v>2904.1705735028727</v>
      </c>
    </row>
    <row r="8" spans="2:28" x14ac:dyDescent="0.25">
      <c r="B8" s="5" t="s">
        <v>6</v>
      </c>
      <c r="C8" s="5">
        <v>33.799999999999997</v>
      </c>
      <c r="D8" s="5">
        <v>84.4</v>
      </c>
      <c r="G8" s="1" t="s">
        <v>6</v>
      </c>
      <c r="H8" s="6">
        <f t="shared" si="0"/>
        <v>866.9322118827979</v>
      </c>
      <c r="I8" s="6">
        <f t="shared" si="0"/>
        <v>1094.9280387313136</v>
      </c>
      <c r="J8" s="6">
        <f t="shared" si="0"/>
        <v>771.22741782174808</v>
      </c>
      <c r="K8" s="6">
        <f t="shared" si="0"/>
        <v>266.52226923842659</v>
      </c>
      <c r="L8" s="6">
        <f t="shared" si="0"/>
        <v>0</v>
      </c>
      <c r="M8" s="6">
        <f t="shared" si="0"/>
        <v>461.26899960868809</v>
      </c>
      <c r="N8" s="6">
        <f t="shared" si="0"/>
        <v>623.4485062938237</v>
      </c>
      <c r="O8" s="6">
        <f t="shared" si="0"/>
        <v>858.37774901263549</v>
      </c>
      <c r="P8" s="6">
        <f t="shared" si="0"/>
        <v>807.624293839654</v>
      </c>
      <c r="Q8" s="6">
        <f t="shared" si="0"/>
        <v>597.11915896243022</v>
      </c>
      <c r="R8" s="6">
        <f t="shared" si="1"/>
        <v>600.14135834818137</v>
      </c>
      <c r="S8" s="6">
        <f t="shared" si="1"/>
        <v>563.01632303157987</v>
      </c>
      <c r="T8" s="6">
        <f t="shared" si="1"/>
        <v>430.29674644366042</v>
      </c>
      <c r="U8" s="6">
        <f t="shared" si="1"/>
        <v>1473.8406460672741</v>
      </c>
      <c r="V8" s="6">
        <f t="shared" si="1"/>
        <v>987.08593850788873</v>
      </c>
      <c r="W8" s="6">
        <f t="shared" si="1"/>
        <v>1911.4120905759694</v>
      </c>
      <c r="X8" s="6">
        <f t="shared" si="1"/>
        <v>1958.0079800654541</v>
      </c>
      <c r="Y8" s="6">
        <f t="shared" si="1"/>
        <v>2346.0913217519901</v>
      </c>
      <c r="Z8" s="6">
        <f t="shared" si="1"/>
        <v>2650.2108670820885</v>
      </c>
      <c r="AA8" s="6">
        <f t="shared" si="1"/>
        <v>2257.3547993171114</v>
      </c>
      <c r="AB8" s="6">
        <f t="shared" si="1"/>
        <v>2676.6664416770354</v>
      </c>
    </row>
    <row r="9" spans="2:28" x14ac:dyDescent="0.25">
      <c r="B9" s="5" t="s">
        <v>7</v>
      </c>
      <c r="C9" s="5">
        <v>30</v>
      </c>
      <c r="D9" s="5">
        <v>89.9</v>
      </c>
      <c r="G9" s="1" t="s">
        <v>7</v>
      </c>
      <c r="H9" s="6">
        <f t="shared" si="0"/>
        <v>1328.120058579043</v>
      </c>
      <c r="I9" s="6">
        <f t="shared" si="0"/>
        <v>1555.9461751615961</v>
      </c>
      <c r="J9" s="6">
        <f t="shared" si="0"/>
        <v>1232.4566686094897</v>
      </c>
      <c r="K9" s="6">
        <f t="shared" si="0"/>
        <v>723.18452002238064</v>
      </c>
      <c r="L9" s="6">
        <f t="shared" si="0"/>
        <v>461.26899960868809</v>
      </c>
      <c r="M9" s="6">
        <f t="shared" si="0"/>
        <v>0</v>
      </c>
      <c r="N9" s="6">
        <f t="shared" si="0"/>
        <v>729.34664597844016</v>
      </c>
      <c r="O9" s="6">
        <f t="shared" si="0"/>
        <v>513.80682167522787</v>
      </c>
      <c r="P9" s="6">
        <f t="shared" si="0"/>
        <v>379.75082620054957</v>
      </c>
      <c r="Q9" s="6">
        <f t="shared" si="0"/>
        <v>828.22996806442575</v>
      </c>
      <c r="R9" s="6">
        <f t="shared" si="1"/>
        <v>975.80735803743585</v>
      </c>
      <c r="S9" s="6">
        <f t="shared" si="1"/>
        <v>974.56240949464097</v>
      </c>
      <c r="T9" s="6">
        <f t="shared" si="1"/>
        <v>725.25532055959445</v>
      </c>
      <c r="U9" s="6">
        <f t="shared" si="1"/>
        <v>1236.313649524262</v>
      </c>
      <c r="V9" s="6">
        <f t="shared" si="1"/>
        <v>1061.2549929211168</v>
      </c>
      <c r="W9" s="6">
        <f t="shared" si="1"/>
        <v>1550.7203132738016</v>
      </c>
      <c r="X9" s="6">
        <f t="shared" si="1"/>
        <v>1691.0490944972591</v>
      </c>
      <c r="Y9" s="6">
        <f t="shared" si="1"/>
        <v>1986.7447395173847</v>
      </c>
      <c r="Z9" s="6">
        <f t="shared" si="1"/>
        <v>2319.6010281942872</v>
      </c>
      <c r="AA9" s="6">
        <f t="shared" si="1"/>
        <v>1886.7179121426702</v>
      </c>
      <c r="AB9" s="6">
        <f t="shared" si="1"/>
        <v>2381.0599341469756</v>
      </c>
    </row>
    <row r="10" spans="2:28" x14ac:dyDescent="0.25">
      <c r="B10" s="5" t="s">
        <v>8</v>
      </c>
      <c r="C10" s="5">
        <v>25.8</v>
      </c>
      <c r="D10" s="5">
        <v>80.2</v>
      </c>
      <c r="G10" s="1" t="s">
        <v>8</v>
      </c>
      <c r="H10" s="6">
        <f t="shared" si="0"/>
        <v>1116.2229615986225</v>
      </c>
      <c r="I10" s="6">
        <f t="shared" si="0"/>
        <v>1303.5157421373935</v>
      </c>
      <c r="J10" s="6">
        <f t="shared" si="0"/>
        <v>1041.0771585238053</v>
      </c>
      <c r="K10" s="6">
        <f t="shared" si="0"/>
        <v>649.91993353027738</v>
      </c>
      <c r="L10" s="6">
        <f t="shared" si="0"/>
        <v>623.4485062938237</v>
      </c>
      <c r="M10" s="6">
        <f t="shared" si="0"/>
        <v>729.34664597844016</v>
      </c>
      <c r="N10" s="6">
        <f t="shared" si="0"/>
        <v>0</v>
      </c>
      <c r="O10" s="6">
        <f t="shared" si="0"/>
        <v>1243.0728699476949</v>
      </c>
      <c r="P10" s="6">
        <f t="shared" si="0"/>
        <v>1084.5079252822454</v>
      </c>
      <c r="Q10" s="6">
        <f t="shared" si="0"/>
        <v>1219.271196247988</v>
      </c>
      <c r="R10" s="6">
        <f t="shared" si="1"/>
        <v>1162.7472511255401</v>
      </c>
      <c r="S10" s="6">
        <f t="shared" si="1"/>
        <v>1088.2330357051287</v>
      </c>
      <c r="T10" s="6">
        <f t="shared" si="1"/>
        <v>1048.277830539213</v>
      </c>
      <c r="U10" s="6">
        <f t="shared" si="1"/>
        <v>1959.028966095193</v>
      </c>
      <c r="V10" s="6">
        <f t="shared" si="1"/>
        <v>1603.7862232853852</v>
      </c>
      <c r="W10" s="6">
        <f t="shared" si="1"/>
        <v>2264.3146645287611</v>
      </c>
      <c r="X10" s="6">
        <f t="shared" si="1"/>
        <v>2419.8153421284032</v>
      </c>
      <c r="Y10" s="6">
        <f t="shared" si="1"/>
        <v>2697.2999332665995</v>
      </c>
      <c r="Z10" s="6">
        <f t="shared" si="1"/>
        <v>3040.5130093456264</v>
      </c>
      <c r="AA10" s="6">
        <f t="shared" si="1"/>
        <v>2591.5080956848269</v>
      </c>
      <c r="AB10" s="6">
        <f t="shared" si="1"/>
        <v>3109.198494789292</v>
      </c>
    </row>
    <row r="11" spans="2:28" x14ac:dyDescent="0.25">
      <c r="B11" s="5" t="s">
        <v>9</v>
      </c>
      <c r="C11" s="5">
        <v>32.799999999999997</v>
      </c>
      <c r="D11" s="5">
        <v>96.8</v>
      </c>
      <c r="G11" s="1" t="s">
        <v>9</v>
      </c>
      <c r="H11" s="6">
        <f t="shared" si="0"/>
        <v>1671.481384879891</v>
      </c>
      <c r="I11" s="6">
        <f t="shared" si="0"/>
        <v>1897.048309875107</v>
      </c>
      <c r="J11" s="6">
        <f t="shared" si="0"/>
        <v>1577.5669652981458</v>
      </c>
      <c r="K11" s="6">
        <f t="shared" si="0"/>
        <v>1116.3509125718492</v>
      </c>
      <c r="L11" s="6">
        <f t="shared" si="0"/>
        <v>858.37774901263549</v>
      </c>
      <c r="M11" s="6">
        <f t="shared" si="0"/>
        <v>513.80682167522787</v>
      </c>
      <c r="N11" s="6">
        <f t="shared" si="0"/>
        <v>1243.0728699476949</v>
      </c>
      <c r="O11" s="6">
        <f t="shared" si="0"/>
        <v>0</v>
      </c>
      <c r="P11" s="6">
        <f t="shared" si="0"/>
        <v>228.43064593000602</v>
      </c>
      <c r="Q11" s="6">
        <f t="shared" si="0"/>
        <v>883.11913692321241</v>
      </c>
      <c r="R11" s="6">
        <f t="shared" si="1"/>
        <v>1154.2815297837874</v>
      </c>
      <c r="S11" s="6">
        <f t="shared" si="1"/>
        <v>1202.4623486829012</v>
      </c>
      <c r="T11" s="6">
        <f t="shared" si="1"/>
        <v>882.25613627789528</v>
      </c>
      <c r="U11" s="6">
        <f t="shared" si="1"/>
        <v>738.68681455675153</v>
      </c>
      <c r="V11" s="6">
        <f t="shared" si="1"/>
        <v>875.75652438334726</v>
      </c>
      <c r="W11" s="6">
        <f t="shared" si="1"/>
        <v>1056.8043243666255</v>
      </c>
      <c r="X11" s="6">
        <f t="shared" si="1"/>
        <v>1179.0927062788578</v>
      </c>
      <c r="Y11" s="6">
        <f t="shared" si="1"/>
        <v>1493.0968655783863</v>
      </c>
      <c r="Z11" s="6">
        <f t="shared" si="1"/>
        <v>1813.3221004554043</v>
      </c>
      <c r="AA11" s="6">
        <f t="shared" si="1"/>
        <v>1400.6999999999998</v>
      </c>
      <c r="AB11" s="6">
        <f t="shared" si="1"/>
        <v>1867.8492444520255</v>
      </c>
    </row>
    <row r="12" spans="2:28" x14ac:dyDescent="0.25">
      <c r="B12" s="5" t="s">
        <v>10</v>
      </c>
      <c r="C12" s="5">
        <v>29.8</v>
      </c>
      <c r="D12" s="5">
        <v>95.4</v>
      </c>
      <c r="G12" s="1" t="s">
        <v>10</v>
      </c>
      <c r="H12" s="6">
        <f t="shared" si="0"/>
        <v>1663.2578453144301</v>
      </c>
      <c r="I12" s="6">
        <f t="shared" si="0"/>
        <v>1891.6699527137393</v>
      </c>
      <c r="J12" s="6">
        <f t="shared" si="0"/>
        <v>1567.5761321224568</v>
      </c>
      <c r="K12" s="6">
        <f t="shared" si="0"/>
        <v>1074.0975374704112</v>
      </c>
      <c r="L12" s="6">
        <f t="shared" si="0"/>
        <v>807.624293839654</v>
      </c>
      <c r="M12" s="6">
        <f t="shared" si="0"/>
        <v>379.75082620054957</v>
      </c>
      <c r="N12" s="6">
        <f t="shared" si="0"/>
        <v>1084.5079252822454</v>
      </c>
      <c r="O12" s="6">
        <f t="shared" si="0"/>
        <v>228.43064593000602</v>
      </c>
      <c r="P12" s="6">
        <f t="shared" si="0"/>
        <v>0</v>
      </c>
      <c r="Q12" s="6">
        <f t="shared" si="0"/>
        <v>983.80063529152085</v>
      </c>
      <c r="R12" s="6">
        <f t="shared" si="1"/>
        <v>1214.9683329206573</v>
      </c>
      <c r="S12" s="6">
        <f t="shared" si="1"/>
        <v>1243.1111696063228</v>
      </c>
      <c r="T12" s="6">
        <f t="shared" si="1"/>
        <v>942.27325654504307</v>
      </c>
      <c r="U12" s="6">
        <f t="shared" si="1"/>
        <v>951.72488146522664</v>
      </c>
      <c r="V12" s="6">
        <f t="shared" si="1"/>
        <v>1058.7622254311873</v>
      </c>
      <c r="W12" s="6">
        <f t="shared" si="1"/>
        <v>1180.2429326202289</v>
      </c>
      <c r="X12" s="6">
        <f t="shared" si="1"/>
        <v>1368.3067090385839</v>
      </c>
      <c r="Y12" s="6">
        <f t="shared" si="1"/>
        <v>1614.4967915731515</v>
      </c>
      <c r="Z12" s="6">
        <f t="shared" si="1"/>
        <v>1956.2929841922953</v>
      </c>
      <c r="AA12" s="6">
        <f t="shared" si="1"/>
        <v>1511.5410315304041</v>
      </c>
      <c r="AB12" s="6">
        <f t="shared" si="1"/>
        <v>2033.1479631350003</v>
      </c>
    </row>
    <row r="13" spans="2:28" x14ac:dyDescent="0.25">
      <c r="B13" s="5" t="s">
        <v>11</v>
      </c>
      <c r="C13" s="5">
        <v>41.8</v>
      </c>
      <c r="D13" s="5">
        <v>87.7</v>
      </c>
      <c r="G13" s="1" t="s">
        <v>11</v>
      </c>
      <c r="H13" s="6">
        <f t="shared" si="0"/>
        <v>955.22021021333057</v>
      </c>
      <c r="I13" s="6">
        <f t="shared" si="0"/>
        <v>1152.8163513760553</v>
      </c>
      <c r="J13" s="6">
        <f t="shared" si="0"/>
        <v>878.22662223369264</v>
      </c>
      <c r="K13" s="6">
        <f t="shared" si="0"/>
        <v>658.8325811615573</v>
      </c>
      <c r="L13" s="6">
        <f t="shared" si="0"/>
        <v>597.11915896243022</v>
      </c>
      <c r="M13" s="6">
        <f t="shared" si="0"/>
        <v>828.22996806442575</v>
      </c>
      <c r="N13" s="6">
        <f t="shared" si="0"/>
        <v>1219.271196247988</v>
      </c>
      <c r="O13" s="6">
        <f t="shared" si="0"/>
        <v>883.11913692321241</v>
      </c>
      <c r="P13" s="6">
        <f t="shared" si="0"/>
        <v>983.80063529152085</v>
      </c>
      <c r="Q13" s="6">
        <f t="shared" si="0"/>
        <v>0</v>
      </c>
      <c r="R13" s="6">
        <f t="shared" si="1"/>
        <v>320.08861273091298</v>
      </c>
      <c r="S13" s="6">
        <f t="shared" si="1"/>
        <v>414.51717696616623</v>
      </c>
      <c r="T13" s="6">
        <f t="shared" si="1"/>
        <v>176.726228953147</v>
      </c>
      <c r="U13" s="6">
        <f t="shared" si="1"/>
        <v>1194.7963173696178</v>
      </c>
      <c r="V13" s="6">
        <f t="shared" si="1"/>
        <v>445.03662770607968</v>
      </c>
      <c r="W13" s="6">
        <f t="shared" si="1"/>
        <v>1778.3403077026617</v>
      </c>
      <c r="X13" s="6">
        <f t="shared" si="1"/>
        <v>1671.225011780281</v>
      </c>
      <c r="Y13" s="6">
        <f t="shared" si="1"/>
        <v>2183.9126768257015</v>
      </c>
      <c r="Z13" s="6">
        <f t="shared" si="1"/>
        <v>2423.8650148058982</v>
      </c>
      <c r="AA13" s="6">
        <f t="shared" si="1"/>
        <v>2121.5227927128185</v>
      </c>
      <c r="AB13" s="6">
        <f t="shared" si="1"/>
        <v>2394.3397691221685</v>
      </c>
    </row>
    <row r="14" spans="2:28" x14ac:dyDescent="0.25">
      <c r="B14" s="5" t="s">
        <v>12</v>
      </c>
      <c r="C14" s="5">
        <v>42.4</v>
      </c>
      <c r="D14" s="5">
        <v>83.1</v>
      </c>
      <c r="G14" s="1" t="s">
        <v>12</v>
      </c>
      <c r="H14" s="6">
        <f t="shared" ref="H14:Q24" si="2">69*SQRT((VLOOKUP($G14,lookup,2,FALSE)-VLOOKUP(H$3,lookup,2,FALSE))^2+(VLOOKUP($G14,lookup,3,FALSE)-VLOOKUP(H$3,lookup,3,FALSE))^2)</f>
        <v>645.54653589032512</v>
      </c>
      <c r="I14" s="6">
        <f t="shared" si="2"/>
        <v>834.92851190985164</v>
      </c>
      <c r="J14" s="6">
        <f t="shared" si="2"/>
        <v>576.30491929186223</v>
      </c>
      <c r="K14" s="6">
        <f t="shared" si="2"/>
        <v>521.53229046723425</v>
      </c>
      <c r="L14" s="6">
        <f t="shared" si="2"/>
        <v>600.14135834818137</v>
      </c>
      <c r="M14" s="6">
        <f t="shared" si="2"/>
        <v>975.80735803743585</v>
      </c>
      <c r="N14" s="6">
        <f t="shared" si="2"/>
        <v>1162.7472511255401</v>
      </c>
      <c r="O14" s="6">
        <f t="shared" si="2"/>
        <v>1154.2815297837874</v>
      </c>
      <c r="P14" s="6">
        <f t="shared" si="2"/>
        <v>1214.9683329206573</v>
      </c>
      <c r="Q14" s="6">
        <f t="shared" si="2"/>
        <v>320.08861273091298</v>
      </c>
      <c r="R14" s="6">
        <f t="shared" ref="R14:AB24" si="3">69*SQRT((VLOOKUP($G14,lookup,2,FALSE)-VLOOKUP(R$3,lookup,2,FALSE))^2+(VLOOKUP($G14,lookup,3,FALSE)-VLOOKUP(R$3,lookup,3,FALSE))^2)</f>
        <v>0</v>
      </c>
      <c r="S14" s="6">
        <f t="shared" si="3"/>
        <v>114.83888714194279</v>
      </c>
      <c r="T14" s="6">
        <f t="shared" si="3"/>
        <v>273.92217872965313</v>
      </c>
      <c r="U14" s="6">
        <f t="shared" si="3"/>
        <v>1514.860389606911</v>
      </c>
      <c r="V14" s="6">
        <f t="shared" si="3"/>
        <v>726.30489465513051</v>
      </c>
      <c r="W14" s="6">
        <f t="shared" si="3"/>
        <v>2093.1124695056405</v>
      </c>
      <c r="X14" s="6">
        <f t="shared" si="3"/>
        <v>1990.2643040561229</v>
      </c>
      <c r="Y14" s="6">
        <f t="shared" si="3"/>
        <v>2502.123054527895</v>
      </c>
      <c r="Z14" s="6">
        <f t="shared" si="3"/>
        <v>2743.9192790605193</v>
      </c>
      <c r="AA14" s="6">
        <f t="shared" si="3"/>
        <v>2437.7222483293704</v>
      </c>
      <c r="AB14" s="6">
        <f t="shared" si="3"/>
        <v>2712.2617738706576</v>
      </c>
    </row>
    <row r="15" spans="2:28" x14ac:dyDescent="0.25">
      <c r="B15" s="5" t="s">
        <v>13</v>
      </c>
      <c r="C15" s="5">
        <v>41.5</v>
      </c>
      <c r="D15" s="5">
        <v>81.7</v>
      </c>
      <c r="G15" s="1" t="s">
        <v>13</v>
      </c>
      <c r="H15" s="6">
        <f t="shared" si="2"/>
        <v>541.0233636359892</v>
      </c>
      <c r="I15" s="6">
        <f t="shared" si="2"/>
        <v>740.36067561695916</v>
      </c>
      <c r="J15" s="6">
        <f t="shared" si="2"/>
        <v>467.01328674888953</v>
      </c>
      <c r="K15" s="6">
        <f t="shared" si="2"/>
        <v>439.11331111684586</v>
      </c>
      <c r="L15" s="6">
        <f t="shared" si="2"/>
        <v>563.01632303157987</v>
      </c>
      <c r="M15" s="6">
        <f t="shared" si="2"/>
        <v>974.56240949464097</v>
      </c>
      <c r="N15" s="6">
        <f t="shared" si="2"/>
        <v>1088.2330357051287</v>
      </c>
      <c r="O15" s="6">
        <f t="shared" si="2"/>
        <v>1202.4623486829012</v>
      </c>
      <c r="P15" s="6">
        <f t="shared" si="2"/>
        <v>1243.1111696063228</v>
      </c>
      <c r="Q15" s="6">
        <f t="shared" si="2"/>
        <v>414.51717696616623</v>
      </c>
      <c r="R15" s="6">
        <f t="shared" si="3"/>
        <v>114.83888714194279</v>
      </c>
      <c r="S15" s="6">
        <f t="shared" si="3"/>
        <v>0</v>
      </c>
      <c r="T15" s="6">
        <f t="shared" si="3"/>
        <v>325.47234905595241</v>
      </c>
      <c r="U15" s="6">
        <f t="shared" si="3"/>
        <v>1605.0918758750231</v>
      </c>
      <c r="V15" s="6">
        <f t="shared" si="3"/>
        <v>836.0397179560307</v>
      </c>
      <c r="W15" s="6">
        <f t="shared" si="3"/>
        <v>2169.0158505644899</v>
      </c>
      <c r="X15" s="6">
        <f t="shared" si="3"/>
        <v>2084.359693047244</v>
      </c>
      <c r="Y15" s="6">
        <f t="shared" si="3"/>
        <v>2583.2645334924568</v>
      </c>
      <c r="Z15" s="6">
        <f t="shared" si="3"/>
        <v>2833.6242693765871</v>
      </c>
      <c r="AA15" s="6">
        <f t="shared" si="3"/>
        <v>2515.2842483504719</v>
      </c>
      <c r="AB15" s="6">
        <f t="shared" si="3"/>
        <v>2808.3084766456836</v>
      </c>
    </row>
    <row r="16" spans="2:28" x14ac:dyDescent="0.25">
      <c r="B16" s="5" t="s">
        <v>14</v>
      </c>
      <c r="C16" s="5">
        <v>39.799999999999997</v>
      </c>
      <c r="D16" s="5">
        <v>86.1</v>
      </c>
      <c r="G16" s="1" t="s">
        <v>14</v>
      </c>
      <c r="H16" s="6">
        <f t="shared" si="2"/>
        <v>844.08746584699304</v>
      </c>
      <c r="I16" s="6">
        <f t="shared" si="2"/>
        <v>1056.0832637628528</v>
      </c>
      <c r="J16" s="6">
        <f t="shared" si="2"/>
        <v>759.1254441790237</v>
      </c>
      <c r="K16" s="6">
        <f t="shared" si="2"/>
        <v>484.23057524282751</v>
      </c>
      <c r="L16" s="6">
        <f t="shared" si="2"/>
        <v>430.29674644366042</v>
      </c>
      <c r="M16" s="6">
        <f t="shared" si="2"/>
        <v>725.25532055959445</v>
      </c>
      <c r="N16" s="6">
        <f t="shared" si="2"/>
        <v>1048.277830539213</v>
      </c>
      <c r="O16" s="6">
        <f t="shared" si="2"/>
        <v>882.25613627789528</v>
      </c>
      <c r="P16" s="6">
        <f t="shared" si="2"/>
        <v>942.27325654504307</v>
      </c>
      <c r="Q16" s="6">
        <f t="shared" si="2"/>
        <v>176.726228953147</v>
      </c>
      <c r="R16" s="6">
        <f t="shared" si="3"/>
        <v>273.92217872965313</v>
      </c>
      <c r="S16" s="6">
        <f t="shared" si="3"/>
        <v>325.47234905595241</v>
      </c>
      <c r="T16" s="6">
        <f t="shared" si="3"/>
        <v>0</v>
      </c>
      <c r="U16" s="6">
        <f t="shared" si="3"/>
        <v>1297.2000000000007</v>
      </c>
      <c r="V16" s="6">
        <f t="shared" si="3"/>
        <v>612.81945138841695</v>
      </c>
      <c r="W16" s="6">
        <f t="shared" si="3"/>
        <v>1845.9144319279806</v>
      </c>
      <c r="X16" s="6">
        <f t="shared" si="3"/>
        <v>1781.5367074523058</v>
      </c>
      <c r="Y16" s="6">
        <f t="shared" si="3"/>
        <v>2263.1368893639651</v>
      </c>
      <c r="Z16" s="6">
        <f t="shared" si="3"/>
        <v>2522.2779882479254</v>
      </c>
      <c r="AA16" s="6">
        <f t="shared" si="3"/>
        <v>2192.8543043257573</v>
      </c>
      <c r="AB16" s="6">
        <f t="shared" si="3"/>
        <v>2507.7774482597142</v>
      </c>
    </row>
    <row r="17" spans="2:28" x14ac:dyDescent="0.25">
      <c r="B17" s="5" t="s">
        <v>15</v>
      </c>
      <c r="C17" s="5">
        <v>39.799999999999997</v>
      </c>
      <c r="D17" s="5">
        <v>104.9</v>
      </c>
      <c r="G17" s="1" t="s">
        <v>15</v>
      </c>
      <c r="H17" s="6">
        <f t="shared" si="2"/>
        <v>2139.9012617408307</v>
      </c>
      <c r="I17" s="6">
        <f t="shared" si="2"/>
        <v>2345.4519948189095</v>
      </c>
      <c r="J17" s="6">
        <f t="shared" si="2"/>
        <v>2056.2463082033732</v>
      </c>
      <c r="K17" s="6">
        <f t="shared" si="2"/>
        <v>1692.9203082248148</v>
      </c>
      <c r="L17" s="6">
        <f t="shared" si="2"/>
        <v>1473.8406460672741</v>
      </c>
      <c r="M17" s="6">
        <f t="shared" si="2"/>
        <v>1236.313649524262</v>
      </c>
      <c r="N17" s="6">
        <f t="shared" si="2"/>
        <v>1959.028966095193</v>
      </c>
      <c r="O17" s="6">
        <f t="shared" si="2"/>
        <v>738.68681455675153</v>
      </c>
      <c r="P17" s="6">
        <f t="shared" si="2"/>
        <v>951.72488146522664</v>
      </c>
      <c r="Q17" s="6">
        <f t="shared" si="2"/>
        <v>1194.7963173696178</v>
      </c>
      <c r="R17" s="6">
        <f t="shared" si="3"/>
        <v>1514.860389606911</v>
      </c>
      <c r="S17" s="6">
        <f t="shared" si="3"/>
        <v>1605.0918758750231</v>
      </c>
      <c r="T17" s="6">
        <f t="shared" si="3"/>
        <v>1297.2000000000007</v>
      </c>
      <c r="U17" s="6">
        <f t="shared" si="3"/>
        <v>0</v>
      </c>
      <c r="V17" s="6">
        <f t="shared" si="3"/>
        <v>877.1417217303034</v>
      </c>
      <c r="W17" s="6">
        <f t="shared" si="3"/>
        <v>660.13205497082095</v>
      </c>
      <c r="X17" s="6">
        <f t="shared" si="3"/>
        <v>487.90367901871781</v>
      </c>
      <c r="Y17" s="6">
        <f t="shared" si="3"/>
        <v>1011.1266686226804</v>
      </c>
      <c r="Z17" s="6">
        <f t="shared" si="3"/>
        <v>1229.0718815431414</v>
      </c>
      <c r="AA17" s="6">
        <f t="shared" si="3"/>
        <v>970.52369368295115</v>
      </c>
      <c r="AB17" s="6">
        <f t="shared" si="3"/>
        <v>1213.8706232543896</v>
      </c>
    </row>
    <row r="18" spans="2:28" x14ac:dyDescent="0.25">
      <c r="B18" s="5" t="s">
        <v>16</v>
      </c>
      <c r="C18" s="5">
        <v>45</v>
      </c>
      <c r="D18" s="5">
        <v>93.3</v>
      </c>
      <c r="G18" s="1" t="s">
        <v>16</v>
      </c>
      <c r="H18" s="6">
        <f t="shared" si="2"/>
        <v>1371.0874698574114</v>
      </c>
      <c r="I18" s="6">
        <f t="shared" si="2"/>
        <v>1549.9372180833645</v>
      </c>
      <c r="J18" s="6">
        <f t="shared" si="2"/>
        <v>1302.3281614094049</v>
      </c>
      <c r="K18" s="6">
        <f t="shared" si="2"/>
        <v>1095.9711173201599</v>
      </c>
      <c r="L18" s="6">
        <f t="shared" si="2"/>
        <v>987.08593850788873</v>
      </c>
      <c r="M18" s="6">
        <f t="shared" si="2"/>
        <v>1061.2549929211168</v>
      </c>
      <c r="N18" s="6">
        <f t="shared" si="2"/>
        <v>1603.7862232853852</v>
      </c>
      <c r="O18" s="6">
        <f t="shared" si="2"/>
        <v>875.75652438334726</v>
      </c>
      <c r="P18" s="6">
        <f t="shared" si="2"/>
        <v>1058.7622254311873</v>
      </c>
      <c r="Q18" s="6">
        <f t="shared" si="2"/>
        <v>445.03662770607968</v>
      </c>
      <c r="R18" s="6">
        <f t="shared" si="3"/>
        <v>726.30489465513051</v>
      </c>
      <c r="S18" s="6">
        <f t="shared" si="3"/>
        <v>836.0397179560307</v>
      </c>
      <c r="T18" s="6">
        <f t="shared" si="3"/>
        <v>612.81945138841695</v>
      </c>
      <c r="U18" s="6">
        <f t="shared" si="3"/>
        <v>877.1417217303034</v>
      </c>
      <c r="V18" s="6">
        <f t="shared" si="3"/>
        <v>0</v>
      </c>
      <c r="W18" s="6">
        <f t="shared" si="3"/>
        <v>1520.6479178297648</v>
      </c>
      <c r="X18" s="6">
        <f t="shared" si="3"/>
        <v>1315.7125825954549</v>
      </c>
      <c r="Y18" s="6">
        <f t="shared" si="3"/>
        <v>1888.1557192138582</v>
      </c>
      <c r="Z18" s="6">
        <f t="shared" si="3"/>
        <v>2081.8456066673148</v>
      </c>
      <c r="AA18" s="6">
        <f t="shared" si="3"/>
        <v>1845.3856182380957</v>
      </c>
      <c r="AB18" s="6">
        <f t="shared" si="3"/>
        <v>2021.5586981336955</v>
      </c>
    </row>
    <row r="19" spans="2:28" x14ac:dyDescent="0.25">
      <c r="B19" s="5" t="s">
        <v>17</v>
      </c>
      <c r="C19" s="5">
        <v>33.5</v>
      </c>
      <c r="D19" s="5">
        <v>112.1</v>
      </c>
      <c r="G19" s="1" t="s">
        <v>17</v>
      </c>
      <c r="H19" s="6">
        <f t="shared" si="2"/>
        <v>2682.210260214511</v>
      </c>
      <c r="I19" s="6">
        <f t="shared" si="2"/>
        <v>2900.1759687991344</v>
      </c>
      <c r="J19" s="6">
        <f t="shared" si="2"/>
        <v>2592.0959183641335</v>
      </c>
      <c r="K19" s="6">
        <f t="shared" si="2"/>
        <v>2162.8831175077398</v>
      </c>
      <c r="L19" s="6">
        <f t="shared" si="2"/>
        <v>1911.4120905759694</v>
      </c>
      <c r="M19" s="6">
        <f t="shared" si="2"/>
        <v>1550.7203132738016</v>
      </c>
      <c r="N19" s="6">
        <f t="shared" si="2"/>
        <v>2264.3146645287611</v>
      </c>
      <c r="O19" s="6">
        <f t="shared" si="2"/>
        <v>1056.8043243666255</v>
      </c>
      <c r="P19" s="6">
        <f t="shared" si="2"/>
        <v>1180.2429326202289</v>
      </c>
      <c r="Q19" s="6">
        <f t="shared" si="2"/>
        <v>1778.3403077026617</v>
      </c>
      <c r="R19" s="6">
        <f t="shared" si="3"/>
        <v>2093.1124695056405</v>
      </c>
      <c r="S19" s="6">
        <f t="shared" si="3"/>
        <v>2169.0158505644899</v>
      </c>
      <c r="T19" s="6">
        <f t="shared" si="3"/>
        <v>1845.9144319279806</v>
      </c>
      <c r="U19" s="6">
        <f t="shared" si="3"/>
        <v>660.13205497082095</v>
      </c>
      <c r="V19" s="6">
        <f t="shared" si="3"/>
        <v>1520.6479178297648</v>
      </c>
      <c r="W19" s="6">
        <f t="shared" si="3"/>
        <v>0</v>
      </c>
      <c r="X19" s="6">
        <f t="shared" si="3"/>
        <v>503.88900563516938</v>
      </c>
      <c r="Y19" s="6">
        <f t="shared" si="3"/>
        <v>436.66697837139077</v>
      </c>
      <c r="Z19" s="6">
        <f t="shared" si="3"/>
        <v>782.89918891259549</v>
      </c>
      <c r="AA19" s="6">
        <f t="shared" si="3"/>
        <v>348.36459349365578</v>
      </c>
      <c r="AB19" s="6">
        <f t="shared" si="3"/>
        <v>904.1369918325438</v>
      </c>
    </row>
    <row r="20" spans="2:28" x14ac:dyDescent="0.25">
      <c r="B20" s="5" t="s">
        <v>18</v>
      </c>
      <c r="C20" s="5">
        <v>40.799999999999997</v>
      </c>
      <c r="D20" s="5">
        <v>111.9</v>
      </c>
      <c r="G20" s="1" t="s">
        <v>18</v>
      </c>
      <c r="H20" s="6">
        <f t="shared" si="2"/>
        <v>2622.00907893165</v>
      </c>
      <c r="I20" s="6">
        <f t="shared" si="2"/>
        <v>2823.9972839930283</v>
      </c>
      <c r="J20" s="6">
        <f t="shared" si="2"/>
        <v>2539.7999291282777</v>
      </c>
      <c r="K20" s="6">
        <f t="shared" si="2"/>
        <v>2180.4109176941861</v>
      </c>
      <c r="L20" s="6">
        <f t="shared" si="2"/>
        <v>1958.0079800654541</v>
      </c>
      <c r="M20" s="6">
        <f t="shared" si="2"/>
        <v>1691.0490944972591</v>
      </c>
      <c r="N20" s="6">
        <f t="shared" si="2"/>
        <v>2419.8153421284032</v>
      </c>
      <c r="O20" s="6">
        <f t="shared" si="2"/>
        <v>1179.0927062788578</v>
      </c>
      <c r="P20" s="6">
        <f t="shared" si="2"/>
        <v>1368.3067090385839</v>
      </c>
      <c r="Q20" s="6">
        <f t="shared" si="2"/>
        <v>1671.225011780281</v>
      </c>
      <c r="R20" s="6">
        <f t="shared" si="3"/>
        <v>1990.2643040561229</v>
      </c>
      <c r="S20" s="6">
        <f t="shared" si="3"/>
        <v>2084.359693047244</v>
      </c>
      <c r="T20" s="6">
        <f t="shared" si="3"/>
        <v>1781.5367074523058</v>
      </c>
      <c r="U20" s="6">
        <f t="shared" si="3"/>
        <v>487.90367901871781</v>
      </c>
      <c r="V20" s="6">
        <f t="shared" si="3"/>
        <v>1315.7125825954549</v>
      </c>
      <c r="W20" s="6">
        <f t="shared" si="3"/>
        <v>503.88900563516938</v>
      </c>
      <c r="X20" s="6">
        <f t="shared" si="3"/>
        <v>0</v>
      </c>
      <c r="Y20" s="6">
        <f t="shared" si="3"/>
        <v>644.10677686234578</v>
      </c>
      <c r="Z20" s="6">
        <f t="shared" si="3"/>
        <v>766.76977639966924</v>
      </c>
      <c r="AA20" s="6">
        <f t="shared" si="3"/>
        <v>658.36269639158581</v>
      </c>
      <c r="AB20" s="6">
        <f t="shared" si="3"/>
        <v>726.59981420311419</v>
      </c>
    </row>
    <row r="21" spans="2:28" x14ac:dyDescent="0.25">
      <c r="B21" s="5" t="s">
        <v>19</v>
      </c>
      <c r="C21" s="5">
        <v>34.1</v>
      </c>
      <c r="D21" s="5">
        <v>118.4</v>
      </c>
      <c r="G21" s="1" t="s">
        <v>19</v>
      </c>
      <c r="H21" s="6">
        <f t="shared" si="2"/>
        <v>3104.0875325931129</v>
      </c>
      <c r="I21" s="6">
        <f t="shared" si="2"/>
        <v>3319.1797179423716</v>
      </c>
      <c r="J21" s="6">
        <f t="shared" si="2"/>
        <v>3015.307894726508</v>
      </c>
      <c r="K21" s="6">
        <f t="shared" si="2"/>
        <v>2595.5100019071406</v>
      </c>
      <c r="L21" s="6">
        <f t="shared" si="2"/>
        <v>2346.0913217519901</v>
      </c>
      <c r="M21" s="6">
        <f t="shared" si="2"/>
        <v>1986.7447395173847</v>
      </c>
      <c r="N21" s="6">
        <f t="shared" si="2"/>
        <v>2697.2999332665995</v>
      </c>
      <c r="O21" s="6">
        <f t="shared" si="2"/>
        <v>1493.0968655783863</v>
      </c>
      <c r="P21" s="6">
        <f t="shared" si="2"/>
        <v>1614.4967915731515</v>
      </c>
      <c r="Q21" s="6">
        <f t="shared" si="2"/>
        <v>2183.9126768257015</v>
      </c>
      <c r="R21" s="6">
        <f t="shared" si="3"/>
        <v>2502.123054527895</v>
      </c>
      <c r="S21" s="6">
        <f t="shared" si="3"/>
        <v>2583.2645334924568</v>
      </c>
      <c r="T21" s="6">
        <f t="shared" si="3"/>
        <v>2263.1368893639651</v>
      </c>
      <c r="U21" s="6">
        <f t="shared" si="3"/>
        <v>1011.1266686226804</v>
      </c>
      <c r="V21" s="6">
        <f t="shared" si="3"/>
        <v>1888.1557192138582</v>
      </c>
      <c r="W21" s="6">
        <f t="shared" si="3"/>
        <v>436.66697837139077</v>
      </c>
      <c r="X21" s="6">
        <f t="shared" si="3"/>
        <v>644.10677686234578</v>
      </c>
      <c r="Y21" s="6">
        <f t="shared" si="3"/>
        <v>0</v>
      </c>
      <c r="Z21" s="6">
        <f t="shared" si="3"/>
        <v>386.21513434871946</v>
      </c>
      <c r="AA21" s="6">
        <f t="shared" si="3"/>
        <v>126.85495654486739</v>
      </c>
      <c r="AB21" s="6">
        <f t="shared" si="3"/>
        <v>586.5</v>
      </c>
    </row>
    <row r="22" spans="2:28" x14ac:dyDescent="0.25">
      <c r="B22" s="5" t="s">
        <v>20</v>
      </c>
      <c r="C22" s="5">
        <v>37.799999999999997</v>
      </c>
      <c r="D22" s="5">
        <v>122.6</v>
      </c>
      <c r="G22" s="1" t="s">
        <v>20</v>
      </c>
      <c r="H22" s="6">
        <f t="shared" si="2"/>
        <v>3366.2525306340272</v>
      </c>
      <c r="I22" s="6">
        <f t="shared" si="2"/>
        <v>3573.9135985639045</v>
      </c>
      <c r="J22" s="6">
        <f t="shared" si="2"/>
        <v>3281.0134851902089</v>
      </c>
      <c r="K22" s="6">
        <f t="shared" si="2"/>
        <v>2889.7740396093254</v>
      </c>
      <c r="L22" s="6">
        <f t="shared" si="2"/>
        <v>2650.2108670820885</v>
      </c>
      <c r="M22" s="6">
        <f t="shared" si="2"/>
        <v>2319.6010281942872</v>
      </c>
      <c r="N22" s="6">
        <f t="shared" si="2"/>
        <v>3040.5130093456264</v>
      </c>
      <c r="O22" s="6">
        <f t="shared" si="2"/>
        <v>1813.3221004554043</v>
      </c>
      <c r="P22" s="6">
        <f t="shared" si="2"/>
        <v>1956.2929841922953</v>
      </c>
      <c r="Q22" s="6">
        <f t="shared" si="2"/>
        <v>2423.8650148058982</v>
      </c>
      <c r="R22" s="6">
        <f t="shared" si="3"/>
        <v>2743.9192790605193</v>
      </c>
      <c r="S22" s="6">
        <f t="shared" si="3"/>
        <v>2833.6242693765871</v>
      </c>
      <c r="T22" s="6">
        <f t="shared" si="3"/>
        <v>2522.2779882479254</v>
      </c>
      <c r="U22" s="6">
        <f t="shared" si="3"/>
        <v>1229.0718815431414</v>
      </c>
      <c r="V22" s="6">
        <f t="shared" si="3"/>
        <v>2081.8456066673148</v>
      </c>
      <c r="W22" s="6">
        <f t="shared" si="3"/>
        <v>782.89918891259549</v>
      </c>
      <c r="X22" s="6">
        <f t="shared" si="3"/>
        <v>766.76977639966924</v>
      </c>
      <c r="Y22" s="6">
        <f t="shared" si="3"/>
        <v>386.21513434871946</v>
      </c>
      <c r="Z22" s="6">
        <f t="shared" si="3"/>
        <v>0</v>
      </c>
      <c r="AA22" s="6">
        <f t="shared" si="3"/>
        <v>512.87937178248842</v>
      </c>
      <c r="AB22" s="6">
        <f t="shared" si="3"/>
        <v>262.56290674807843</v>
      </c>
    </row>
    <row r="23" spans="2:28" x14ac:dyDescent="0.25">
      <c r="B23" s="5" t="s">
        <v>21</v>
      </c>
      <c r="C23" s="5">
        <v>32.799999999999997</v>
      </c>
      <c r="D23" s="5">
        <v>117.1</v>
      </c>
      <c r="G23" s="1" t="s">
        <v>21</v>
      </c>
      <c r="H23" s="6">
        <f t="shared" si="2"/>
        <v>3030.2314515561343</v>
      </c>
      <c r="I23" s="6">
        <f t="shared" si="2"/>
        <v>3247.7384531393532</v>
      </c>
      <c r="J23" s="6">
        <f t="shared" si="2"/>
        <v>2940.274517795915</v>
      </c>
      <c r="K23" s="6">
        <f t="shared" si="2"/>
        <v>2510.1684106848284</v>
      </c>
      <c r="L23" s="6">
        <f t="shared" si="2"/>
        <v>2257.3547993171114</v>
      </c>
      <c r="M23" s="6">
        <f t="shared" si="2"/>
        <v>1886.7179121426702</v>
      </c>
      <c r="N23" s="6">
        <f t="shared" si="2"/>
        <v>2591.5080956848269</v>
      </c>
      <c r="O23" s="6">
        <f t="shared" si="2"/>
        <v>1400.6999999999998</v>
      </c>
      <c r="P23" s="6">
        <f t="shared" si="2"/>
        <v>1511.5410315304041</v>
      </c>
      <c r="Q23" s="6">
        <f t="shared" si="2"/>
        <v>2121.5227927128185</v>
      </c>
      <c r="R23" s="6">
        <f t="shared" si="3"/>
        <v>2437.7222483293704</v>
      </c>
      <c r="S23" s="6">
        <f t="shared" si="3"/>
        <v>2515.2842483504719</v>
      </c>
      <c r="T23" s="6">
        <f t="shared" si="3"/>
        <v>2192.8543043257573</v>
      </c>
      <c r="U23" s="6">
        <f t="shared" si="3"/>
        <v>970.52369368295115</v>
      </c>
      <c r="V23" s="6">
        <f t="shared" si="3"/>
        <v>1845.3856182380957</v>
      </c>
      <c r="W23" s="6">
        <f t="shared" si="3"/>
        <v>348.36459349365578</v>
      </c>
      <c r="X23" s="6">
        <f t="shared" si="3"/>
        <v>658.36269639158581</v>
      </c>
      <c r="Y23" s="6">
        <f t="shared" si="3"/>
        <v>126.85495654486739</v>
      </c>
      <c r="Z23" s="6">
        <f t="shared" si="3"/>
        <v>512.87937178248842</v>
      </c>
      <c r="AA23" s="6">
        <f t="shared" si="3"/>
        <v>0</v>
      </c>
      <c r="AB23" s="6">
        <f t="shared" si="3"/>
        <v>708.82179001495217</v>
      </c>
    </row>
    <row r="24" spans="2:28" x14ac:dyDescent="0.25">
      <c r="B24" s="5" t="s">
        <v>22</v>
      </c>
      <c r="C24" s="5">
        <v>41.6</v>
      </c>
      <c r="D24" s="5">
        <v>122.4</v>
      </c>
      <c r="G24" s="1" t="s">
        <v>22</v>
      </c>
      <c r="H24" s="6">
        <f t="shared" si="2"/>
        <v>3347.0761359730077</v>
      </c>
      <c r="I24" s="6">
        <f t="shared" si="2"/>
        <v>3546.9288758022767</v>
      </c>
      <c r="J24" s="6">
        <f t="shared" si="2"/>
        <v>3265.5666966087224</v>
      </c>
      <c r="K24" s="6">
        <f t="shared" si="2"/>
        <v>2904.1705735028727</v>
      </c>
      <c r="L24" s="6">
        <f t="shared" si="2"/>
        <v>2676.6664416770354</v>
      </c>
      <c r="M24" s="6">
        <f t="shared" si="2"/>
        <v>2381.0599341469756</v>
      </c>
      <c r="N24" s="6">
        <f t="shared" si="2"/>
        <v>3109.198494789292</v>
      </c>
      <c r="O24" s="6">
        <f t="shared" si="2"/>
        <v>1867.8492444520255</v>
      </c>
      <c r="P24" s="6">
        <f t="shared" si="2"/>
        <v>2033.1479631350003</v>
      </c>
      <c r="Q24" s="6">
        <f t="shared" si="2"/>
        <v>2394.3397691221685</v>
      </c>
      <c r="R24" s="6">
        <f t="shared" si="3"/>
        <v>2712.2617738706576</v>
      </c>
      <c r="S24" s="6">
        <f t="shared" si="3"/>
        <v>2808.3084766456836</v>
      </c>
      <c r="T24" s="6">
        <f t="shared" si="3"/>
        <v>2507.7774482597142</v>
      </c>
      <c r="U24" s="6">
        <f t="shared" si="3"/>
        <v>1213.8706232543896</v>
      </c>
      <c r="V24" s="6">
        <f t="shared" si="3"/>
        <v>2021.5586981336955</v>
      </c>
      <c r="W24" s="6">
        <f t="shared" si="3"/>
        <v>904.1369918325438</v>
      </c>
      <c r="X24" s="6">
        <f t="shared" si="3"/>
        <v>726.59981420311419</v>
      </c>
      <c r="Y24" s="6">
        <f t="shared" si="3"/>
        <v>586.5</v>
      </c>
      <c r="Z24" s="6">
        <f t="shared" si="3"/>
        <v>262.56290674807843</v>
      </c>
      <c r="AA24" s="6">
        <f t="shared" si="3"/>
        <v>708.82179001495217</v>
      </c>
      <c r="AB24" s="6">
        <f t="shared" si="3"/>
        <v>0</v>
      </c>
    </row>
    <row r="27" spans="2:28" ht="21" x14ac:dyDescent="0.35">
      <c r="G27" s="2" t="s">
        <v>25</v>
      </c>
    </row>
    <row r="28" spans="2:28" ht="18.75" x14ac:dyDescent="0.3">
      <c r="F28" t="s">
        <v>26</v>
      </c>
      <c r="G28" s="7" t="s">
        <v>27</v>
      </c>
    </row>
    <row r="29" spans="2:28" ht="18.75" x14ac:dyDescent="0.3">
      <c r="F29" t="s">
        <v>28</v>
      </c>
      <c r="G29" s="7" t="s">
        <v>30</v>
      </c>
      <c r="K29" t="str">
        <f ca="1">_xlfn.FORMULATEXT(H4)</f>
        <v>=69*SQRT((VLOOKUP($G4,lookup,2,FALSE)-VLOOKUP(H$3,lookup,2,FALSE))^2+(VLOOKUP($G4,lookup,3,FALSE)-VLOOKUP(H$3,lookup,3,FALSE))^2)</v>
      </c>
    </row>
    <row r="30" spans="2:28" ht="18.75" x14ac:dyDescent="0.3">
      <c r="F30" t="s">
        <v>29</v>
      </c>
      <c r="G30" s="7" t="s">
        <v>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6855E-1672-4033-A080-A704895DC579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653F199C-F979-4E6E-A017-FC31555B6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FE14A54-ED17-4CC2-80CB-428B7054DE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lookup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Wu, Catherine</cp:lastModifiedBy>
  <dcterms:created xsi:type="dcterms:W3CDTF">2007-02-28T21:16:50Z</dcterms:created>
  <dcterms:modified xsi:type="dcterms:W3CDTF">2025-11-06T20:24:20Z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